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Posgrado\_29_Material_EspBD_PL_I_2022\Talleres\BolsaValoresyAcciones\"/>
    </mc:Choice>
  </mc:AlternateContent>
  <xr:revisionPtr revIDLastSave="0" documentId="13_ncr:1_{D2114800-13AE-4896-8E04-3090A03B5C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spect" sheetId="2" r:id="rId1"/>
    <sheet name="Dat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8" i="1" l="1"/>
  <c r="H18" i="1"/>
  <c r="G18" i="1"/>
  <c r="F18" i="1"/>
  <c r="E18" i="1"/>
  <c r="G5" i="2" s="1"/>
  <c r="D18" i="1"/>
  <c r="I5" i="2" s="1"/>
  <c r="I9" i="1"/>
  <c r="H9" i="1"/>
  <c r="G9" i="1"/>
  <c r="F9" i="1"/>
  <c r="E9" i="1"/>
  <c r="D9" i="1"/>
  <c r="C5" i="2" l="1"/>
  <c r="E5" i="2"/>
</calcChain>
</file>

<file path=xl/sharedStrings.xml><?xml version="1.0" encoding="utf-8"?>
<sst xmlns="http://schemas.openxmlformats.org/spreadsheetml/2006/main" count="82" uniqueCount="50">
  <si>
    <t>Q1</t>
  </si>
  <si>
    <t>Q2</t>
  </si>
  <si>
    <t>Quarter's Range</t>
  </si>
  <si>
    <t>Variation</t>
  </si>
  <si>
    <t>Q3</t>
  </si>
  <si>
    <t>Q4</t>
  </si>
  <si>
    <t>Intel Corporation (INTC)</t>
  </si>
  <si>
    <t>Cisco Systems, Inc. (CSCO)</t>
  </si>
  <si>
    <t>International Business Machines (IBM)</t>
  </si>
  <si>
    <t>Microsoft Corporation (MSFT)</t>
  </si>
  <si>
    <t>*Close price adjusted for splits.</t>
  </si>
  <si>
    <t>**Adjusted close price adjusted for both dividends and splits.</t>
  </si>
  <si>
    <t xml:space="preserve"> </t>
  </si>
  <si>
    <t>OPEN</t>
  </si>
  <si>
    <t>HIGH</t>
  </si>
  <si>
    <t>LOW</t>
  </si>
  <si>
    <t>VOLUME</t>
  </si>
  <si>
    <t>46,96 - 51,49</t>
  </si>
  <si>
    <t>50,47 - 53,78</t>
  </si>
  <si>
    <t>The Best Sales´s day</t>
  </si>
  <si>
    <t>Company</t>
  </si>
  <si>
    <t>..</t>
  </si>
  <si>
    <t>Q2=1,712</t>
  </si>
  <si>
    <t>Oracle Corporation (ORCL)</t>
  </si>
  <si>
    <t>Apple Inc (AAPL)</t>
  </si>
  <si>
    <t>Amazon.com Inc. (AMZN)</t>
  </si>
  <si>
    <t>DATE</t>
  </si>
  <si>
    <t>COMPANY</t>
  </si>
  <si>
    <t>AVG</t>
  </si>
  <si>
    <t>*CLOSE</t>
  </si>
  <si>
    <t>**ADJ</t>
  </si>
  <si>
    <t>Q</t>
  </si>
  <si>
    <t>*MAX(AVG(Volume)*AVG(Adj))</t>
  </si>
  <si>
    <t>*The Best Q U$ Millons</t>
  </si>
  <si>
    <t>…………</t>
  </si>
  <si>
    <t>………….</t>
  </si>
  <si>
    <t>………</t>
  </si>
  <si>
    <t>………..</t>
  </si>
  <si>
    <t xml:space="preserve"> https://finance.yahoo.com/ </t>
  </si>
  <si>
    <t>Mar 09, 2016</t>
  </si>
  <si>
    <t>Mar 08, 2016</t>
  </si>
  <si>
    <t>Ene 14, 2016</t>
  </si>
  <si>
    <t>Ene 13, 2016</t>
  </si>
  <si>
    <t>Feb 12, 2016</t>
  </si>
  <si>
    <t>Abr 07, 2016</t>
  </si>
  <si>
    <t>Abr 06, 2016</t>
  </si>
  <si>
    <t>May 05, 2016</t>
  </si>
  <si>
    <t>May 02, 2016</t>
  </si>
  <si>
    <t>Jun 01, 2016</t>
  </si>
  <si>
    <t>Jul 28,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</si>
</sst>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362F2D"/>
      <name val="Arial"/>
      <family val="2"/>
    </font>
    <font>
      <sz val="8"/>
      <color rgb="FF000000"/>
      <name val="Arial"/>
      <family val="2"/>
    </font>
    <font>
      <b/>
      <sz val="14"/>
      <color rgb="FF362F2D"/>
      <name val="Arial"/>
      <family val="2"/>
    </font>
    <font>
      <b/>
      <sz val="8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E0E4E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3" fillId="2" borderId="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quotePrefix="1" applyBorder="1" applyAlignment="1">
      <alignment horizontal="center"/>
    </xf>
    <xf numFmtId="0" fontId="3" fillId="2" borderId="9" xfId="0" applyFon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21</xdr:row>
      <xdr:rowOff>68581</xdr:rowOff>
    </xdr:from>
    <xdr:ext cx="9822180" cy="1165859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7640" y="4038601"/>
          <a:ext cx="9822180" cy="1165859"/>
        </a:xfrm>
        <a:prstGeom prst="rect">
          <a:avLst/>
        </a:prstGeom>
        <a:noFill/>
        <a:ln w="15875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CO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DEFINITION of 'Quarter - Q1, Q2, Q3, Q4'</a:t>
          </a:r>
        </a:p>
        <a:p>
          <a:r>
            <a:rPr lang="es-CO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quarter is a three-month period on a company's financial calendar that acts as a basis for the reporting of earnings and the paying of dividends. </a:t>
          </a:r>
        </a:p>
        <a:p>
          <a:r>
            <a:rPr lang="es-CO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quarter refers to one-fourth of a year and is typically expressed as "Q."</a:t>
          </a:r>
        </a:p>
        <a:p>
          <a:r>
            <a:rPr lang="es-CO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standard four quarters that make up the year are: January, February and March (Q1); April, May and June (Q2); July, August and September (Q3); and October, November and December (Q4). A quarter is often shown with its relevant year, as in Q1 2015 or Q1/15, which represents the first quarter of the year 2015.</a:t>
          </a:r>
        </a:p>
        <a:p>
          <a:r>
            <a:rPr lang="es-CO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https://www.investopedia.com/terms/q/quarter.asp</a:t>
          </a:r>
          <a:endParaRPr lang="es-CO" sz="1100"/>
        </a:p>
        <a:p>
          <a:endParaRPr lang="es-CO" sz="1100"/>
        </a:p>
        <a:p>
          <a:endParaRPr lang="es-CO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5"/>
  <sheetViews>
    <sheetView tabSelected="1" workbookViewId="0">
      <selection activeCell="H14" sqref="H14"/>
    </sheetView>
  </sheetViews>
  <sheetFormatPr baseColWidth="10" defaultRowHeight="14.4" x14ac:dyDescent="0.3"/>
  <cols>
    <col min="2" max="2" width="32.44140625" bestFit="1" customWidth="1"/>
    <col min="3" max="3" width="8.5546875" customWidth="1"/>
    <col min="4" max="4" width="11.44140625" bestFit="1" customWidth="1"/>
    <col min="5" max="5" width="8.6640625" bestFit="1" customWidth="1"/>
    <col min="6" max="6" width="10.109375" bestFit="1" customWidth="1"/>
    <col min="7" max="7" width="10.21875" customWidth="1"/>
    <col min="8" max="8" width="11.44140625" bestFit="1" customWidth="1"/>
    <col min="9" max="9" width="8.6640625" bestFit="1" customWidth="1"/>
    <col min="10" max="10" width="10.109375" bestFit="1" customWidth="1"/>
    <col min="11" max="11" width="4.6640625" bestFit="1" customWidth="1"/>
    <col min="12" max="12" width="2.88671875" customWidth="1"/>
    <col min="13" max="13" width="3" customWidth="1"/>
    <col min="14" max="14" width="2.77734375" customWidth="1"/>
    <col min="15" max="15" width="4.6640625" bestFit="1" customWidth="1"/>
    <col min="16" max="16" width="3.109375" customWidth="1"/>
    <col min="17" max="17" width="2.33203125" customWidth="1"/>
    <col min="18" max="18" width="2.6640625" customWidth="1"/>
  </cols>
  <sheetData>
    <row r="2" spans="2:19" ht="21" x14ac:dyDescent="0.4">
      <c r="C2" s="29">
        <v>2016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2:19" ht="15" thickBot="1" x14ac:dyDescent="0.35"/>
    <row r="4" spans="2:19" ht="29.4" thickBot="1" x14ac:dyDescent="0.35">
      <c r="B4" s="23" t="s">
        <v>20</v>
      </c>
      <c r="C4" s="24" t="s">
        <v>0</v>
      </c>
      <c r="D4" s="25" t="s">
        <v>2</v>
      </c>
      <c r="E4" s="25" t="s">
        <v>3</v>
      </c>
      <c r="F4" s="25" t="s">
        <v>19</v>
      </c>
      <c r="G4" s="26" t="s">
        <v>1</v>
      </c>
      <c r="H4" s="25" t="s">
        <v>2</v>
      </c>
      <c r="I4" s="25" t="s">
        <v>3</v>
      </c>
      <c r="J4" s="25" t="s">
        <v>19</v>
      </c>
      <c r="K4" s="26" t="s">
        <v>4</v>
      </c>
      <c r="L4" s="26"/>
      <c r="M4" s="26"/>
      <c r="N4" s="26"/>
      <c r="O4" s="26" t="s">
        <v>5</v>
      </c>
      <c r="P4" s="26"/>
      <c r="Q4" s="26"/>
      <c r="R4" s="26"/>
      <c r="S4" s="27" t="s">
        <v>33</v>
      </c>
    </row>
    <row r="5" spans="2:19" x14ac:dyDescent="0.3">
      <c r="B5" s="18" t="s">
        <v>6</v>
      </c>
      <c r="C5" s="19">
        <f>(Data!E9+Data!F9)/2</f>
        <v>51.695999999999998</v>
      </c>
      <c r="D5" s="20" t="s">
        <v>18</v>
      </c>
      <c r="E5" s="19">
        <f>Data!D9-Data!G9</f>
        <v>0.28200000000000358</v>
      </c>
      <c r="F5" s="21" t="s">
        <v>42</v>
      </c>
      <c r="G5" s="19">
        <f>(Data!E18+Data!F18)/2</f>
        <v>49.477499999999999</v>
      </c>
      <c r="H5" s="20" t="s">
        <v>17</v>
      </c>
      <c r="I5" s="19">
        <f>Data!D18-Data!G18</f>
        <v>-0.34999999999999432</v>
      </c>
      <c r="J5" s="21" t="s">
        <v>45</v>
      </c>
      <c r="K5" s="19"/>
      <c r="L5" s="19" t="s">
        <v>21</v>
      </c>
      <c r="M5" s="19" t="s">
        <v>21</v>
      </c>
      <c r="N5" s="19" t="s">
        <v>21</v>
      </c>
      <c r="O5" s="19"/>
      <c r="P5" s="19" t="s">
        <v>21</v>
      </c>
      <c r="Q5" s="19" t="s">
        <v>21</v>
      </c>
      <c r="R5" s="19" t="s">
        <v>21</v>
      </c>
      <c r="S5" s="22" t="s">
        <v>22</v>
      </c>
    </row>
    <row r="6" spans="2:19" x14ac:dyDescent="0.3">
      <c r="B6" s="13" t="s">
        <v>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4"/>
    </row>
    <row r="7" spans="2:19" x14ac:dyDescent="0.3">
      <c r="B7" s="13" t="s">
        <v>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4"/>
    </row>
    <row r="8" spans="2:19" x14ac:dyDescent="0.3">
      <c r="B8" s="13" t="s">
        <v>23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4"/>
    </row>
    <row r="9" spans="2:19" x14ac:dyDescent="0.3">
      <c r="B9" s="13" t="s">
        <v>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4"/>
    </row>
    <row r="10" spans="2:19" x14ac:dyDescent="0.3">
      <c r="B10" s="13" t="s">
        <v>24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4"/>
    </row>
    <row r="11" spans="2:19" ht="15" thickBot="1" x14ac:dyDescent="0.35">
      <c r="B11" s="15" t="s">
        <v>25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</row>
    <row r="13" spans="2:19" x14ac:dyDescent="0.3">
      <c r="B13" s="4" t="s">
        <v>38</v>
      </c>
    </row>
    <row r="14" spans="2:19" x14ac:dyDescent="0.3">
      <c r="S14" t="s">
        <v>32</v>
      </c>
    </row>
    <row r="15" spans="2:19" x14ac:dyDescent="0.3">
      <c r="B15" s="4" t="s">
        <v>12</v>
      </c>
    </row>
  </sheetData>
  <mergeCells count="1">
    <mergeCell ref="C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1"/>
  <sheetViews>
    <sheetView workbookViewId="0">
      <selection activeCell="C11" sqref="C11"/>
    </sheetView>
  </sheetViews>
  <sheetFormatPr baseColWidth="10" defaultRowHeight="14.4" x14ac:dyDescent="0.3"/>
  <cols>
    <col min="1" max="1" width="3" customWidth="1"/>
    <col min="2" max="2" width="20.6640625" bestFit="1" customWidth="1"/>
    <col min="3" max="3" width="9.21875" bestFit="1" customWidth="1"/>
    <col min="4" max="8" width="12" bestFit="1" customWidth="1"/>
    <col min="9" max="9" width="10.109375" bestFit="1" customWidth="1"/>
    <col min="10" max="10" width="6.77734375" customWidth="1"/>
  </cols>
  <sheetData>
    <row r="2" spans="2:10" ht="16.2" thickBot="1" x14ac:dyDescent="0.35">
      <c r="B2" s="3" t="s">
        <v>27</v>
      </c>
      <c r="C2" s="3" t="s">
        <v>26</v>
      </c>
      <c r="D2" s="3" t="s">
        <v>13</v>
      </c>
      <c r="E2" s="3" t="s">
        <v>14</v>
      </c>
      <c r="F2" s="3" t="s">
        <v>15</v>
      </c>
      <c r="G2" s="3" t="s">
        <v>29</v>
      </c>
      <c r="H2" s="3" t="s">
        <v>30</v>
      </c>
      <c r="I2" s="3" t="s">
        <v>16</v>
      </c>
      <c r="J2" s="11" t="s">
        <v>31</v>
      </c>
    </row>
    <row r="3" spans="2:10" ht="15" thickBot="1" x14ac:dyDescent="0.35">
      <c r="B3" t="s">
        <v>6</v>
      </c>
      <c r="C3" s="1" t="s">
        <v>41</v>
      </c>
      <c r="D3">
        <v>52.06</v>
      </c>
      <c r="E3">
        <v>52.18</v>
      </c>
      <c r="F3">
        <v>51.31</v>
      </c>
      <c r="G3">
        <v>51.86</v>
      </c>
      <c r="H3">
        <v>51.86</v>
      </c>
      <c r="I3" s="4">
        <v>24226300</v>
      </c>
      <c r="J3" s="30" t="s">
        <v>0</v>
      </c>
    </row>
    <row r="4" spans="2:10" ht="15" thickBot="1" x14ac:dyDescent="0.35">
      <c r="B4" t="s">
        <v>6</v>
      </c>
      <c r="C4" s="1" t="s">
        <v>42</v>
      </c>
      <c r="D4">
        <v>52.52</v>
      </c>
      <c r="E4">
        <v>53.78</v>
      </c>
      <c r="F4">
        <v>51.39</v>
      </c>
      <c r="G4">
        <v>51.78</v>
      </c>
      <c r="H4">
        <v>51.78</v>
      </c>
      <c r="I4" s="4">
        <v>45573900</v>
      </c>
      <c r="J4" s="30"/>
    </row>
    <row r="5" spans="2:10" ht="15" thickBot="1" x14ac:dyDescent="0.35">
      <c r="B5" t="s">
        <v>6</v>
      </c>
      <c r="C5" s="1" t="s">
        <v>43</v>
      </c>
      <c r="D5">
        <v>51.86</v>
      </c>
      <c r="E5">
        <v>51.95</v>
      </c>
      <c r="F5">
        <v>50.5</v>
      </c>
      <c r="G5">
        <v>51.52</v>
      </c>
      <c r="H5">
        <v>51.52</v>
      </c>
      <c r="I5" s="4">
        <v>32044400</v>
      </c>
      <c r="J5" s="30"/>
    </row>
    <row r="6" spans="2:10" ht="15" thickBot="1" x14ac:dyDescent="0.35">
      <c r="B6" t="s">
        <v>6</v>
      </c>
      <c r="C6" s="1" t="s">
        <v>39</v>
      </c>
      <c r="D6">
        <v>51.27</v>
      </c>
      <c r="E6">
        <v>52.3</v>
      </c>
      <c r="F6">
        <v>51</v>
      </c>
      <c r="G6">
        <v>52.19</v>
      </c>
      <c r="H6">
        <v>52.19</v>
      </c>
      <c r="I6" s="4">
        <v>32727900</v>
      </c>
      <c r="J6" s="30"/>
    </row>
    <row r="7" spans="2:10" ht="15" thickBot="1" x14ac:dyDescent="0.35">
      <c r="B7" t="s">
        <v>6</v>
      </c>
      <c r="C7" s="1" t="s">
        <v>40</v>
      </c>
      <c r="D7">
        <v>51.79</v>
      </c>
      <c r="E7">
        <v>52.08</v>
      </c>
      <c r="F7">
        <v>50.47</v>
      </c>
      <c r="G7">
        <v>50.74</v>
      </c>
      <c r="H7">
        <v>50.74</v>
      </c>
      <c r="I7" s="4">
        <v>29481200</v>
      </c>
      <c r="J7" s="30"/>
    </row>
    <row r="8" spans="2:10" ht="12.6" customHeight="1" thickBot="1" x14ac:dyDescent="0.35">
      <c r="C8" s="1"/>
      <c r="D8" s="2" t="s">
        <v>34</v>
      </c>
      <c r="E8" s="2" t="s">
        <v>35</v>
      </c>
      <c r="F8" s="2" t="s">
        <v>34</v>
      </c>
      <c r="G8" s="2" t="s">
        <v>36</v>
      </c>
      <c r="H8" s="2" t="s">
        <v>35</v>
      </c>
      <c r="I8" s="28" t="s">
        <v>37</v>
      </c>
      <c r="J8" s="10"/>
    </row>
    <row r="9" spans="2:10" ht="15" thickBot="1" x14ac:dyDescent="0.35">
      <c r="C9" s="8" t="s">
        <v>28</v>
      </c>
      <c r="D9" s="5">
        <f t="shared" ref="D9:I9" si="0">AVERAGE(D3:D7)</f>
        <v>51.9</v>
      </c>
      <c r="E9" s="5">
        <f t="shared" si="0"/>
        <v>52.458000000000006</v>
      </c>
      <c r="F9" s="5">
        <f t="shared" si="0"/>
        <v>50.933999999999997</v>
      </c>
      <c r="G9" s="5">
        <f t="shared" si="0"/>
        <v>51.617999999999995</v>
      </c>
      <c r="H9" s="5">
        <f t="shared" si="0"/>
        <v>51.617999999999995</v>
      </c>
      <c r="I9" s="6">
        <f t="shared" si="0"/>
        <v>32810740</v>
      </c>
    </row>
    <row r="10" spans="2:10" ht="15" thickBot="1" x14ac:dyDescent="0.35">
      <c r="C10" s="1"/>
      <c r="I10" s="4"/>
    </row>
    <row r="11" spans="2:10" ht="15" thickBot="1" x14ac:dyDescent="0.35">
      <c r="B11" t="s">
        <v>6</v>
      </c>
      <c r="C11" s="1" t="s">
        <v>44</v>
      </c>
      <c r="D11">
        <v>50.18</v>
      </c>
      <c r="E11">
        <v>51.49</v>
      </c>
      <c r="F11">
        <v>50.1</v>
      </c>
      <c r="G11">
        <v>51.32</v>
      </c>
      <c r="H11">
        <v>51.32</v>
      </c>
      <c r="I11" s="4">
        <v>31801900</v>
      </c>
      <c r="J11" s="30" t="s">
        <v>1</v>
      </c>
    </row>
    <row r="12" spans="2:10" ht="15" thickBot="1" x14ac:dyDescent="0.35">
      <c r="B12" t="s">
        <v>6</v>
      </c>
      <c r="C12" s="1" t="s">
        <v>45</v>
      </c>
      <c r="D12">
        <v>50.16</v>
      </c>
      <c r="E12">
        <v>51.33</v>
      </c>
      <c r="F12">
        <v>50.15</v>
      </c>
      <c r="G12">
        <v>50.71</v>
      </c>
      <c r="H12">
        <v>50.71</v>
      </c>
      <c r="I12" s="4">
        <v>39132300</v>
      </c>
      <c r="J12" s="30"/>
    </row>
    <row r="13" spans="2:10" ht="15" thickBot="1" x14ac:dyDescent="0.35">
      <c r="B13" t="s">
        <v>6</v>
      </c>
      <c r="C13" s="1" t="s">
        <v>46</v>
      </c>
      <c r="D13">
        <v>48.57</v>
      </c>
      <c r="E13">
        <v>49.8</v>
      </c>
      <c r="F13">
        <v>48.04</v>
      </c>
      <c r="G13">
        <v>49.75</v>
      </c>
      <c r="H13">
        <v>49.75</v>
      </c>
      <c r="I13" s="4">
        <v>30826500</v>
      </c>
      <c r="J13" s="30"/>
    </row>
    <row r="14" spans="2:10" ht="15" thickBot="1" x14ac:dyDescent="0.35">
      <c r="B14" t="s">
        <v>6</v>
      </c>
      <c r="C14" s="1" t="s">
        <v>47</v>
      </c>
      <c r="D14">
        <v>47.2</v>
      </c>
      <c r="E14">
        <v>49.05</v>
      </c>
      <c r="F14">
        <v>46.96</v>
      </c>
      <c r="G14">
        <v>48.98</v>
      </c>
      <c r="H14">
        <v>48.98</v>
      </c>
      <c r="I14" s="4">
        <v>33310600</v>
      </c>
      <c r="J14" s="30"/>
    </row>
    <row r="15" spans="2:10" ht="15" thickBot="1" x14ac:dyDescent="0.35">
      <c r="B15" t="s">
        <v>6</v>
      </c>
      <c r="C15" s="1" t="s">
        <v>48</v>
      </c>
      <c r="D15">
        <v>49.5</v>
      </c>
      <c r="E15">
        <v>49.72</v>
      </c>
      <c r="F15">
        <v>47.47</v>
      </c>
      <c r="G15">
        <v>47.84</v>
      </c>
      <c r="H15">
        <v>47.84</v>
      </c>
      <c r="I15" s="4">
        <v>36326600</v>
      </c>
      <c r="J15" s="30"/>
    </row>
    <row r="16" spans="2:10" ht="18" x14ac:dyDescent="0.3">
      <c r="B16" t="s">
        <v>6</v>
      </c>
      <c r="C16" s="1" t="s">
        <v>49</v>
      </c>
      <c r="D16">
        <v>50.18</v>
      </c>
      <c r="E16">
        <v>50.34</v>
      </c>
      <c r="F16">
        <v>49.28</v>
      </c>
      <c r="G16">
        <v>49.29</v>
      </c>
      <c r="H16">
        <v>49.29</v>
      </c>
      <c r="I16" s="4">
        <v>35541200</v>
      </c>
      <c r="J16" s="10"/>
    </row>
    <row r="17" spans="2:10" ht="13.8" customHeight="1" x14ac:dyDescent="0.3">
      <c r="C17" s="7"/>
      <c r="D17" s="2" t="s">
        <v>34</v>
      </c>
      <c r="E17" s="2" t="s">
        <v>35</v>
      </c>
      <c r="F17" s="2" t="s">
        <v>34</v>
      </c>
      <c r="G17" s="2" t="s">
        <v>36</v>
      </c>
      <c r="H17" s="2" t="s">
        <v>35</v>
      </c>
      <c r="I17" s="28" t="s">
        <v>37</v>
      </c>
      <c r="J17" s="10"/>
    </row>
    <row r="18" spans="2:10" x14ac:dyDescent="0.3">
      <c r="C18" s="9" t="s">
        <v>28</v>
      </c>
      <c r="D18" s="5">
        <f t="shared" ref="D18:I18" si="1">AVERAGE(D11:D16)</f>
        <v>49.298333333333339</v>
      </c>
      <c r="E18" s="5">
        <f t="shared" si="1"/>
        <v>50.288333333333334</v>
      </c>
      <c r="F18" s="5">
        <f t="shared" si="1"/>
        <v>48.666666666666664</v>
      </c>
      <c r="G18" s="5">
        <f t="shared" si="1"/>
        <v>49.648333333333333</v>
      </c>
      <c r="H18" s="5">
        <f t="shared" si="1"/>
        <v>49.648333333333333</v>
      </c>
      <c r="I18" s="6">
        <f t="shared" si="1"/>
        <v>34489850</v>
      </c>
    </row>
    <row r="20" spans="2:10" x14ac:dyDescent="0.3">
      <c r="B20" t="s">
        <v>10</v>
      </c>
    </row>
    <row r="21" spans="2:10" x14ac:dyDescent="0.3">
      <c r="B21" t="s">
        <v>11</v>
      </c>
    </row>
  </sheetData>
  <mergeCells count="2">
    <mergeCell ref="J3:J7"/>
    <mergeCell ref="J11:J15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Aspect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jquevedo</cp:lastModifiedBy>
  <dcterms:created xsi:type="dcterms:W3CDTF">2018-03-15T13:36:44Z</dcterms:created>
  <dcterms:modified xsi:type="dcterms:W3CDTF">2022-03-24T01:49:30Z</dcterms:modified>
</cp:coreProperties>
</file>